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karynakyrushok/Downloads/"/>
    </mc:Choice>
  </mc:AlternateContent>
  <xr:revisionPtr revIDLastSave="0" documentId="13_ncr:1_{ED318AA7-F5D8-C647-A0DA-7918CF1584EC}" xr6:coauthVersionLast="47" xr6:coauthVersionMax="47" xr10:uidLastSave="{00000000-0000-0000-0000-000000000000}"/>
  <bookViews>
    <workbookView xWindow="0" yWindow="760" windowWidth="38400" windowHeight="24100" tabRatio="500" xr2:uid="{00000000-000D-0000-FFFF-FFFF00000000}"/>
  </bookViews>
  <sheets>
    <sheet name="Трекер" sheetId="1" r:id="rId1"/>
  </sheets>
  <definedNames>
    <definedName name="_xlnm._FilterDatabase" localSheetId="0" hidden="1">Трекер!$A$13:$I$64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5" i="1"/>
</calcChain>
</file>

<file path=xl/sharedStrings.xml><?xml version="1.0" encoding="utf-8"?>
<sst xmlns="http://schemas.openxmlformats.org/spreadsheetml/2006/main" count="324" uniqueCount="178">
  <si>
    <t>Трекер "Гарячих питань" — Бухгалтерські курси</t>
  </si>
  <si>
    <t>Робочий список 51 гарячого питання: статус написання, ціна, статус імпорту в бота</t>
  </si>
  <si>
    <t>ЗВЕДЕННЯ</t>
  </si>
  <si>
    <t>Всього питань</t>
  </si>
  <si>
    <t>Написано</t>
  </si>
  <si>
    <t>У роботі</t>
  </si>
  <si>
    <t>Ще не написано</t>
  </si>
  <si>
    <t>Імпортовано в бота</t>
  </si>
  <si>
    <t>Потенційний дохід (написані), грн</t>
  </si>
  <si>
    <t>№ (ID)</t>
  </si>
  <si>
    <t>Тема (блок)</t>
  </si>
  <si>
    <t>Назва питання</t>
  </si>
  <si>
    <t>Ціна, грн</t>
  </si>
  <si>
    <t>Файл (назва .docx)</t>
  </si>
  <si>
    <t>Статус написання</t>
  </si>
  <si>
    <t>Дата написання</t>
  </si>
  <si>
    <t>Примітки</t>
  </si>
  <si>
    <t>ГП-01</t>
  </si>
  <si>
    <t>Податки / ПДВ</t>
  </si>
  <si>
    <t>Несвоєчасна реєстрація ПН — штраф 2%, хто нараховує, чи прийде в кабінет</t>
  </si>
  <si>
    <t>ГП-01_Несвоєчасна реєстрація ПН — штраф 2.docx</t>
  </si>
  <si>
    <t>Ні</t>
  </si>
  <si>
    <t>ГП-02</t>
  </si>
  <si>
    <t>Зведена ПН з кодом 09 — "перевищення", статус "очікує квитанції", відмова в реєстрації</t>
  </si>
  <si>
    <t>ГП-02_Зведена ПН з кодом 09 — "перевищенн.docx</t>
  </si>
  <si>
    <t>ГП-03</t>
  </si>
  <si>
    <t>Коригування ПН при помилковій даті реєстрації — в якому періоді врахувати</t>
  </si>
  <si>
    <t>ГП-03_Коригування ПН при помилковій даті.docx</t>
  </si>
  <si>
    <t>ГП-04</t>
  </si>
  <si>
    <t>Нульове коригування номенклатури товару — яким числом виписувати</t>
  </si>
  <si>
    <t>ГП-04_Нульове коригування номенклатури то.docx</t>
  </si>
  <si>
    <t>ГП-05</t>
  </si>
  <si>
    <t>Остання декларація ПДВ при закритті ФОП/ТОВ — умовні зобов'язання на від'ємне значення</t>
  </si>
  <si>
    <t>ГП-05_Остання декларація ПДВ при закритті.docx</t>
  </si>
  <si>
    <t>ГП-06</t>
  </si>
  <si>
    <t>РК при зміні ціни за додатковою угодою й частковій передплаті</t>
  </si>
  <si>
    <t>ГП-06_РК при зміні ціни за додатковою уго.docx</t>
  </si>
  <si>
    <t>ГП-07</t>
  </si>
  <si>
    <t>Дисконтування заборгованості за договором з відстрочкою на рік</t>
  </si>
  <si>
    <t>ГП-07_Дисконтування заборгованості за дог.docx</t>
  </si>
  <si>
    <t>ГП-08</t>
  </si>
  <si>
    <t>Компенсація транспортних витрат покупцю — як оформити</t>
  </si>
  <si>
    <t>ГП-08_Компенсація транспортних витрат пок.docx</t>
  </si>
  <si>
    <t>ГП-09</t>
  </si>
  <si>
    <t>ФОП 3 група / ЄП / ВЗ</t>
  </si>
  <si>
    <t>Etsy та іноземні маркетплейси — чи потрібна фіскалізація діджитал-товарів</t>
  </si>
  <si>
    <t>ГП-09_Etsy та іноземні маркетплейси — чи.docx</t>
  </si>
  <si>
    <t>ГП-10</t>
  </si>
  <si>
    <t>ФОП на фестивалі за договором з організатором — що вважається доходом (50% чи вся сума)</t>
  </si>
  <si>
    <t>ГП-10_ФОП на фестивалі за договором з орг.docx</t>
  </si>
  <si>
    <t>ГП-11</t>
  </si>
  <si>
    <t>Дата доходу ФОП: зарахування на Payoneer чи виведення на рахунок ФОП</t>
  </si>
  <si>
    <t>ГП-12</t>
  </si>
  <si>
    <t>ФОП 3 групи за договором доручення — з якої суми рахувати податки</t>
  </si>
  <si>
    <t>ГП-12_ФОП 3 групи за договором доручення.docx</t>
  </si>
  <si>
    <t>ГП-13</t>
  </si>
  <si>
    <t>Внесення власних коштів на рахунок ФОП 3 групи — чи оподатковується</t>
  </si>
  <si>
    <t>ГП-13_Внесення власних коштів на рахунок.docx</t>
  </si>
  <si>
    <t>ГП-14</t>
  </si>
  <si>
    <t>Якщо кошти не надходять на рахунок ФОП 3 гр — чи платити ЄП і ВЗ</t>
  </si>
  <si>
    <t>ГП-14_Якщо кошти не надходять на рахунок.docx</t>
  </si>
  <si>
    <t>ГП-15</t>
  </si>
  <si>
    <t>Декларація ФОП 3 гр за півріччя — не нарахувався ВЗ 1%</t>
  </si>
  <si>
    <t>ГП-15_Декларація ФОП 3 гр за півріччя — н.docx</t>
  </si>
  <si>
    <t>ГП-16</t>
  </si>
  <si>
    <t>Ліквідаційна звітність ФОП — строки подання і сплати податків</t>
  </si>
  <si>
    <t>ГП-16_Ліквідаційна звітність ФОП — строки.docx</t>
  </si>
  <si>
    <t>ГП-17</t>
  </si>
  <si>
    <t>Реєстрація ФОП на адресу проживання, відмінну від прописки</t>
  </si>
  <si>
    <t>ГП-17_Реєстрація ФОП на адресу проживання.docx</t>
  </si>
  <si>
    <t>ГП-18</t>
  </si>
  <si>
    <t>ФОП зареєстровано, але спрощена система не відображається в кабінеті</t>
  </si>
  <si>
    <t>ГП-18_ФОП зареєстровано, але спрощена сис.docx</t>
  </si>
  <si>
    <t>ГП-19</t>
  </si>
  <si>
    <t>Який КВЕД для бухпослуг ФОП 3 гр, щоб уникнути фінмоніторингу</t>
  </si>
  <si>
    <t>ГП-19_Який КВЕД для бухпослуг ФОП 3 гр, щ.docx</t>
  </si>
  <si>
    <t>ГП-20</t>
  </si>
  <si>
    <t>КВЕД 47.73 — чи обов'язковий для продажу ветпрепаратів (краплі від бліх/кліщів)</t>
  </si>
  <si>
    <t>ГП-20_КВЕД 47.73 — чи обов'язковий для пр.docx</t>
  </si>
  <si>
    <t>ГП-21</t>
  </si>
  <si>
    <t>Кур'єрські послуги ФОП 3 гр (вело/піші) — 20-ОПП і об'єкт оподаткування</t>
  </si>
  <si>
    <t>ГП-21_Кур'єрські послуги ФОП 3 гр (вело/п.docx</t>
  </si>
  <si>
    <t>ГП-22</t>
  </si>
  <si>
    <t>Зарплата / лікарняні / ЄСВ</t>
  </si>
  <si>
    <t>Лікарняний по вагітності та пологах — дата видачі, дати протоколу й заявки</t>
  </si>
  <si>
    <t>ГП-22_Лікарняний по вагітності та пологах.docx</t>
  </si>
  <si>
    <t>ГП-23</t>
  </si>
  <si>
    <t>Лікарняні за рахунок ФОП і ФСС — як показати в об'єднаній звітності</t>
  </si>
  <si>
    <t>ГП-23_Лікарняні за рахунок ФОП і ФСС — як.docx</t>
  </si>
  <si>
    <t>ГП-24</t>
  </si>
  <si>
    <t>Паперовий лікарняний — заява-розрахунок у форматі JSON</t>
  </si>
  <si>
    <t>ГП-24_Паперовий лікарняний — заява-розрах.docx</t>
  </si>
  <si>
    <t>ГП-25</t>
  </si>
  <si>
    <t>Індексація зарплати в липні — визначення базового місяця</t>
  </si>
  <si>
    <t>ГП-25_Індексація зарплати в липні — визна.docx</t>
  </si>
  <si>
    <t>ГП-26</t>
  </si>
  <si>
    <t>Чи потрібен підпис працівника у відомості нарахування зп щомісяця</t>
  </si>
  <si>
    <t>ГП-26_Чи потрібен підпис працівника у від.docx</t>
  </si>
  <si>
    <t>ГП-27</t>
  </si>
  <si>
    <t>ФОП у декреті — звільнення від ЄСВ і право на другу декретну виплату</t>
  </si>
  <si>
    <t>ГП-27_ФОП у декреті — звільнення від ЄСВ.docx</t>
  </si>
  <si>
    <t>ГП-28</t>
  </si>
  <si>
    <t>ФОП 2 гр у відпустці по догляду за дитиною до 3 років — звільнення від ЄСВ</t>
  </si>
  <si>
    <t>ГП-28_ФОП 2 гр у відпустці по догляду за.docx</t>
  </si>
  <si>
    <t>ГП-29</t>
  </si>
  <si>
    <t>Уточнюючий звіт ЄСВ — забута ознака інвалідності, як виправити</t>
  </si>
  <si>
    <t>ГП-29_Уточнюючий звіт ЄСВ — забута ознака.docx</t>
  </si>
  <si>
    <t>ГП-30</t>
  </si>
  <si>
    <t>Звітність — виправлення помилок</t>
  </si>
  <si>
    <t>Виправлення помилок в об'єднаній звітності (зп + відпускні) — уточнюючі чи різні звіти</t>
  </si>
  <si>
    <t>ГП-30_Виправлення помилок в об'єднаній зв.docx</t>
  </si>
  <si>
    <t>ГП-31</t>
  </si>
  <si>
    <t>Несумова помилка в об'єднаній звітності — нова звітна чи уточнююча</t>
  </si>
  <si>
    <t>ГП-31_Несумова помилка в об'єднаній звітн.docx</t>
  </si>
  <si>
    <t>ГП-32</t>
  </si>
  <si>
    <t>Помилка в 4ДФ (невірний ІПН) — як виправити після подання помісячних звітів</t>
  </si>
  <si>
    <t>ГП-32_Помилка в 4ДФ (невірний ІПН) — як в.docx</t>
  </si>
  <si>
    <t>ГП-33</t>
  </si>
  <si>
    <t>Штраф за уточнюючу — коли подаєш три поспіль</t>
  </si>
  <si>
    <t>ГП-33_Штраф за уточнюючу — коли подаєш тр.docx</t>
  </si>
  <si>
    <t>ГП-34</t>
  </si>
  <si>
    <t>Не включені відпускні в квітні — уточнююча і штраф 1020</t>
  </si>
  <si>
    <t>ГП-34_Не включені відпускні в квітні — ут.docx</t>
  </si>
  <si>
    <t>ГП-35</t>
  </si>
  <si>
    <t>Помилка в Дод.1 — стовпчик 19 (утримання ЄСВ)</t>
  </si>
  <si>
    <t>ГП-35_Помилка в Дод.1 — стовпчик 19 (утри.docx</t>
  </si>
  <si>
    <t>ГП-36</t>
  </si>
  <si>
    <t>Завантаження звіту з е-кабінету у форматі xml.zip для банку</t>
  </si>
  <si>
    <t>ГП-36_Завантаження звіту з е-кабінету у ф.docx</t>
  </si>
  <si>
    <t>ГП-37</t>
  </si>
  <si>
    <t>Критичність / бронювання</t>
  </si>
  <si>
    <t>Зміна обласних критеріїв критичності — чи подавати заново весь пакет</t>
  </si>
  <si>
    <t>ГП-37_Зміна обласних критеріїв критичност.docx</t>
  </si>
  <si>
    <t>ГП-38</t>
  </si>
  <si>
    <t>Перебронювання працівників через Дію за 24 години після перепідтвердження</t>
  </si>
  <si>
    <t>ГП-38_Перебронювання працівників через Ді.docx</t>
  </si>
  <si>
    <t>ГП-39</t>
  </si>
  <si>
    <t>Чи злітає критичність, якщо квитанція 2 не прийде до 12 ночі</t>
  </si>
  <si>
    <t>ГП-39_Чи злітає критичність, якщо квитанц.docx</t>
  </si>
  <si>
    <t>ГП-40</t>
  </si>
  <si>
    <t>Довідка про відсутність заборгованості для бронювання — податкова не приймає</t>
  </si>
  <si>
    <t>ГП-40_Довідка про відсутність заборговано.docx</t>
  </si>
  <si>
    <t>ГП-41</t>
  </si>
  <si>
    <t>Заява на ОДА про визнання критично важливим (+ шаблон Word)</t>
  </si>
  <si>
    <t>ГП-41_Заява на ОДА про визнання критично.docx</t>
  </si>
  <si>
    <t>ГП-42</t>
  </si>
  <si>
    <t>ТОВ / складні операції</t>
  </si>
  <si>
    <t>Позика фізособи-засновника ТОВ — як оформити</t>
  </si>
  <si>
    <t>ГП-42_Позика фізособи-засновника ТОВ — як.docx</t>
  </si>
  <si>
    <t>ГП-43</t>
  </si>
  <si>
    <t>Безоплатне отримання ТОВ майна від фізособи — облік і ризики</t>
  </si>
  <si>
    <t>ГП-43_Безоплатне отримання ТОВ майна від.docx</t>
  </si>
  <si>
    <t>ГП-44</t>
  </si>
  <si>
    <t>Послуги нерезидента (сертифікація) — ПДВ і податок на репатріацію</t>
  </si>
  <si>
    <t>ГП-44_Послуги нерезидента (сертифікація).docx</t>
  </si>
  <si>
    <t>ГП-45</t>
  </si>
  <si>
    <t>Списання пального на автомобіль засновника (не директора) — ризики</t>
  </si>
  <si>
    <t>ГП-45_Списання пального на автомобіль зас.docx</t>
  </si>
  <si>
    <t>ГП-46</t>
  </si>
  <si>
    <t>Повернення ЄП і ВЗ за держзамовленнями (форма КБ-2в)</t>
  </si>
  <si>
    <t>ГП-46_Повернення ЄП і ВЗ за держзамовленн.docx</t>
  </si>
  <si>
    <t>ГП-47</t>
  </si>
  <si>
    <t>Залишки копійок на рах. 643 — як списувати</t>
  </si>
  <si>
    <t>ГП-47_Залишки копійок на рах. 643 — як сп.docx</t>
  </si>
  <si>
    <t>ГП-48</t>
  </si>
  <si>
    <t>ЕЦП для ТОВ, якщо засновник за кордоном без біометричного паспорта</t>
  </si>
  <si>
    <t>ГП-48_ЕЦП для ТОВ, якщо засновник за корд.docx</t>
  </si>
  <si>
    <t>ГП-49</t>
  </si>
  <si>
    <t>ПФД на ТОВ з карти фізособи — призначення платежу</t>
  </si>
  <si>
    <t>ГП-49_ПФД на ТОВ з карти фізособи — призн.docx</t>
  </si>
  <si>
    <t>ГП-50</t>
  </si>
  <si>
    <t>Оподаткування участі в міжнародній виставці з рекламними матеріалами</t>
  </si>
  <si>
    <t>ГП-50_Оподаткування участі в міжнародній.docx</t>
  </si>
  <si>
    <t>ГП-51</t>
  </si>
  <si>
    <t>Дія Сіті — ставки податків із зп для бронювання новоствореної компанії</t>
  </si>
  <si>
    <t>ГП-51_Дія Сіті — ставки податків із зп дл.docx</t>
  </si>
  <si>
    <t>ГП-11_Дата доходу ФОП, зарахування на Pay.docx</t>
  </si>
  <si>
    <t>Так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</si>
</sst>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грн&quot;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66666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5"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D9EAD3"/>
        </patternFill>
      </fill>
    </dxf>
    <dxf>
      <fill>
        <patternFill>
          <bgColor rgb="FFFFF3CD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4"/>
  <sheetViews>
    <sheetView showGridLines="0" tabSelected="1" zoomScaleNormal="100" workbookViewId="0">
      <pane ySplit="13" topLeftCell="A31" activePane="bottomLeft" state="frozen"/>
      <selection pane="bottomLeft" activeCell="H62" sqref="H62"/>
    </sheetView>
  </sheetViews>
  <sheetFormatPr baseColWidth="10" defaultColWidth="8.6640625" defaultRowHeight="15" x14ac:dyDescent="0.2"/>
  <cols>
    <col min="1" max="1" width="10" style="7" customWidth="1"/>
    <col min="2" max="2" width="26" style="7" customWidth="1"/>
    <col min="3" max="3" width="60" style="7" customWidth="1"/>
    <col min="4" max="4" width="10" style="7" customWidth="1"/>
    <col min="5" max="5" width="42" style="7" customWidth="1"/>
    <col min="6" max="6" width="20" style="7" customWidth="1"/>
    <col min="7" max="7" width="16" style="7" customWidth="1"/>
    <col min="8" max="8" width="18" style="7" customWidth="1"/>
    <col min="9" max="9" width="30" style="7" customWidth="1"/>
  </cols>
  <sheetData>
    <row r="1" spans="1:9" ht="20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">
      <c r="A2" s="5" t="s">
        <v>1</v>
      </c>
      <c r="B2" s="5"/>
      <c r="C2" s="5"/>
      <c r="D2" s="5"/>
      <c r="E2" s="5"/>
      <c r="F2" s="5"/>
      <c r="G2" s="5"/>
      <c r="H2" s="5"/>
      <c r="I2" s="5"/>
    </row>
    <row r="4" spans="1:9" x14ac:dyDescent="0.2">
      <c r="A4" s="13" t="s">
        <v>2</v>
      </c>
    </row>
    <row r="5" spans="1:9" x14ac:dyDescent="0.2">
      <c r="A5" s="14" t="s">
        <v>3</v>
      </c>
      <c r="C5" s="6">
        <f>COUNTA(D14:D64)</f>
        <v>51</v>
      </c>
    </row>
    <row r="6" spans="1:9" x14ac:dyDescent="0.2">
      <c r="A6" s="14" t="s">
        <v>4</v>
      </c>
      <c r="C6" s="6">
        <f>COUNTIF(F14:F64,"Написано")+COUNTIF(F14:F64,"Імпортовано в бота")</f>
        <v>27</v>
      </c>
    </row>
    <row r="7" spans="1:9" x14ac:dyDescent="0.2">
      <c r="A7" s="14" t="s">
        <v>5</v>
      </c>
      <c r="C7" s="6">
        <f>COUNTIF(F14:F64,"У роботі")</f>
        <v>0</v>
      </c>
    </row>
    <row r="8" spans="1:9" x14ac:dyDescent="0.2">
      <c r="A8" s="14" t="s">
        <v>6</v>
      </c>
      <c r="C8" s="6">
        <f>COUNTIF(F14:F64,"Ще не написано")</f>
        <v>24</v>
      </c>
    </row>
    <row r="9" spans="1:9" x14ac:dyDescent="0.2">
      <c r="A9" s="14" t="s">
        <v>7</v>
      </c>
      <c r="C9" s="6">
        <f>COUNTIF(H14:H64,"Так")</f>
        <v>27</v>
      </c>
    </row>
    <row r="10" spans="1:9" x14ac:dyDescent="0.2">
      <c r="A10" s="14" t="s">
        <v>8</v>
      </c>
      <c r="C10" s="8">
        <f>SUMIFS(D14:D64,F14:F64,"Написано")+SUMIFS(D14:D64,F14:F64,"Імпортовано в бота")</f>
        <v>2673</v>
      </c>
    </row>
    <row r="13" spans="1:9" ht="30" customHeight="1" x14ac:dyDescent="0.2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7</v>
      </c>
      <c r="I13" s="1" t="s">
        <v>16</v>
      </c>
    </row>
    <row r="14" spans="1:9" ht="31.5" customHeight="1" x14ac:dyDescent="0.2">
      <c r="A14" s="2" t="s">
        <v>17</v>
      </c>
      <c r="B14" s="9" t="s">
        <v>18</v>
      </c>
      <c r="C14" s="10" t="s">
        <v>19</v>
      </c>
      <c r="D14" s="3">
        <v>99</v>
      </c>
      <c r="E14" s="10" t="s">
        <v>20</v>
      </c>
      <c r="F14" s="2" t="s">
        <v>4</v>
      </c>
      <c r="G14" s="11">
        <v>46228</v>
      </c>
      <c r="H14" s="2" t="s">
        <v>177</v>
      </c>
      <c r="I14" s="10"/>
    </row>
    <row r="15" spans="1:9" ht="31.5" hidden="1" customHeight="1" x14ac:dyDescent="0.2">
      <c r="A15" s="2" t="s">
        <v>22</v>
      </c>
      <c r="B15" s="2" t="s">
        <v>18</v>
      </c>
      <c r="C15" s="10" t="s">
        <v>23</v>
      </c>
      <c r="D15" s="3">
        <v>149</v>
      </c>
      <c r="E15" s="10" t="s">
        <v>24</v>
      </c>
      <c r="F15" s="2" t="s">
        <v>6</v>
      </c>
      <c r="G15" s="2"/>
      <c r="H15" s="2" t="s">
        <v>21</v>
      </c>
      <c r="I15" s="10"/>
    </row>
    <row r="16" spans="1:9" ht="31.5" hidden="1" customHeight="1" x14ac:dyDescent="0.2">
      <c r="A16" s="2" t="s">
        <v>25</v>
      </c>
      <c r="B16" s="2" t="s">
        <v>18</v>
      </c>
      <c r="C16" s="10" t="s">
        <v>26</v>
      </c>
      <c r="D16" s="3">
        <v>149</v>
      </c>
      <c r="E16" s="10" t="s">
        <v>27</v>
      </c>
      <c r="F16" s="2" t="s">
        <v>6</v>
      </c>
      <c r="G16" s="2"/>
      <c r="H16" s="2" t="s">
        <v>21</v>
      </c>
      <c r="I16" s="10"/>
    </row>
    <row r="17" spans="1:9" ht="31.5" customHeight="1" x14ac:dyDescent="0.2">
      <c r="A17" s="2" t="s">
        <v>28</v>
      </c>
      <c r="B17" s="2" t="s">
        <v>18</v>
      </c>
      <c r="C17" s="10" t="s">
        <v>29</v>
      </c>
      <c r="D17" s="3">
        <v>99</v>
      </c>
      <c r="E17" s="10" t="s">
        <v>30</v>
      </c>
      <c r="F17" s="2" t="s">
        <v>4</v>
      </c>
      <c r="G17" s="11">
        <v>46228</v>
      </c>
      <c r="H17" s="2" t="s">
        <v>177</v>
      </c>
      <c r="I17" s="10"/>
    </row>
    <row r="18" spans="1:9" ht="31.5" hidden="1" customHeight="1" x14ac:dyDescent="0.2">
      <c r="A18" s="2" t="s">
        <v>31</v>
      </c>
      <c r="B18" s="2" t="s">
        <v>18</v>
      </c>
      <c r="C18" s="10" t="s">
        <v>32</v>
      </c>
      <c r="D18" s="3">
        <v>149</v>
      </c>
      <c r="E18" s="10" t="s">
        <v>33</v>
      </c>
      <c r="F18" s="2" t="s">
        <v>6</v>
      </c>
      <c r="G18" s="2"/>
      <c r="H18" s="2" t="s">
        <v>21</v>
      </c>
      <c r="I18" s="10"/>
    </row>
    <row r="19" spans="1:9" ht="31.5" hidden="1" customHeight="1" x14ac:dyDescent="0.2">
      <c r="A19" s="2" t="s">
        <v>34</v>
      </c>
      <c r="B19" s="2" t="s">
        <v>18</v>
      </c>
      <c r="C19" s="10" t="s">
        <v>35</v>
      </c>
      <c r="D19" s="3">
        <v>199</v>
      </c>
      <c r="E19" s="10" t="s">
        <v>36</v>
      </c>
      <c r="F19" s="2" t="s">
        <v>6</v>
      </c>
      <c r="G19" s="2"/>
      <c r="H19" s="2" t="s">
        <v>21</v>
      </c>
      <c r="I19" s="10"/>
    </row>
    <row r="20" spans="1:9" ht="31.5" hidden="1" customHeight="1" x14ac:dyDescent="0.2">
      <c r="A20" s="2" t="s">
        <v>37</v>
      </c>
      <c r="B20" s="2" t="s">
        <v>18</v>
      </c>
      <c r="C20" s="10" t="s">
        <v>38</v>
      </c>
      <c r="D20" s="3">
        <v>149</v>
      </c>
      <c r="E20" s="10" t="s">
        <v>39</v>
      </c>
      <c r="F20" s="2" t="s">
        <v>6</v>
      </c>
      <c r="G20" s="2"/>
      <c r="H20" s="2" t="s">
        <v>21</v>
      </c>
      <c r="I20" s="10"/>
    </row>
    <row r="21" spans="1:9" ht="31.5" customHeight="1" x14ac:dyDescent="0.2">
      <c r="A21" s="2" t="s">
        <v>40</v>
      </c>
      <c r="B21" s="2" t="s">
        <v>18</v>
      </c>
      <c r="C21" s="10" t="s">
        <v>41</v>
      </c>
      <c r="D21" s="3">
        <v>99</v>
      </c>
      <c r="E21" s="10" t="s">
        <v>42</v>
      </c>
      <c r="F21" s="2" t="s">
        <v>4</v>
      </c>
      <c r="G21" s="11">
        <v>46228</v>
      </c>
      <c r="H21" s="2" t="s">
        <v>177</v>
      </c>
      <c r="I21" s="10"/>
    </row>
    <row r="22" spans="1:9" ht="31.5" hidden="1" customHeight="1" x14ac:dyDescent="0.2">
      <c r="A22" s="2" t="s">
        <v>43</v>
      </c>
      <c r="B22" s="9" t="s">
        <v>44</v>
      </c>
      <c r="C22" s="10" t="s">
        <v>45</v>
      </c>
      <c r="D22" s="3">
        <v>149</v>
      </c>
      <c r="E22" s="10" t="s">
        <v>46</v>
      </c>
      <c r="F22" s="2" t="s">
        <v>6</v>
      </c>
      <c r="G22" s="2"/>
      <c r="H22" s="2" t="s">
        <v>21</v>
      </c>
      <c r="I22" s="10"/>
    </row>
    <row r="23" spans="1:9" ht="31.5" hidden="1" customHeight="1" x14ac:dyDescent="0.2">
      <c r="A23" s="2" t="s">
        <v>47</v>
      </c>
      <c r="B23" s="2" t="s">
        <v>44</v>
      </c>
      <c r="C23" s="10" t="s">
        <v>48</v>
      </c>
      <c r="D23" s="3">
        <v>149</v>
      </c>
      <c r="E23" s="10" t="s">
        <v>49</v>
      </c>
      <c r="F23" s="2" t="s">
        <v>6</v>
      </c>
      <c r="G23" s="2"/>
      <c r="H23" s="2" t="s">
        <v>21</v>
      </c>
      <c r="I23" s="10"/>
    </row>
    <row r="24" spans="1:9" ht="31.5" customHeight="1" x14ac:dyDescent="0.2">
      <c r="A24" s="2" t="s">
        <v>50</v>
      </c>
      <c r="B24" s="2" t="s">
        <v>44</v>
      </c>
      <c r="C24" s="10" t="s">
        <v>51</v>
      </c>
      <c r="D24" s="3">
        <v>99</v>
      </c>
      <c r="E24" s="12" t="s">
        <v>176</v>
      </c>
      <c r="F24" s="2" t="s">
        <v>4</v>
      </c>
      <c r="G24" s="11">
        <v>46228</v>
      </c>
      <c r="H24" s="2" t="s">
        <v>177</v>
      </c>
      <c r="I24" s="10"/>
    </row>
    <row r="25" spans="1:9" ht="31.5" hidden="1" customHeight="1" x14ac:dyDescent="0.2">
      <c r="A25" s="2" t="s">
        <v>52</v>
      </c>
      <c r="B25" s="2" t="s">
        <v>44</v>
      </c>
      <c r="C25" s="10" t="s">
        <v>53</v>
      </c>
      <c r="D25" s="3">
        <v>199</v>
      </c>
      <c r="E25" s="10" t="s">
        <v>54</v>
      </c>
      <c r="F25" s="2" t="s">
        <v>6</v>
      </c>
      <c r="G25" s="2"/>
      <c r="H25" s="2" t="s">
        <v>21</v>
      </c>
      <c r="I25" s="10"/>
    </row>
    <row r="26" spans="1:9" ht="31.5" customHeight="1" x14ac:dyDescent="0.2">
      <c r="A26" s="2" t="s">
        <v>55</v>
      </c>
      <c r="B26" s="2" t="s">
        <v>44</v>
      </c>
      <c r="C26" s="10" t="s">
        <v>56</v>
      </c>
      <c r="D26" s="3">
        <v>99</v>
      </c>
      <c r="E26" s="10" t="s">
        <v>57</v>
      </c>
      <c r="F26" s="2" t="s">
        <v>4</v>
      </c>
      <c r="G26" s="11">
        <v>46228</v>
      </c>
      <c r="H26" s="2" t="s">
        <v>177</v>
      </c>
      <c r="I26" s="10"/>
    </row>
    <row r="27" spans="1:9" ht="31.5" customHeight="1" x14ac:dyDescent="0.2">
      <c r="A27" s="2" t="s">
        <v>58</v>
      </c>
      <c r="B27" s="2" t="s">
        <v>44</v>
      </c>
      <c r="C27" s="10" t="s">
        <v>59</v>
      </c>
      <c r="D27" s="3">
        <v>99</v>
      </c>
      <c r="E27" s="10" t="s">
        <v>60</v>
      </c>
      <c r="F27" s="2" t="s">
        <v>4</v>
      </c>
      <c r="G27" s="11">
        <v>46228</v>
      </c>
      <c r="H27" s="2" t="s">
        <v>177</v>
      </c>
      <c r="I27" s="10"/>
    </row>
    <row r="28" spans="1:9" ht="31.5" customHeight="1" x14ac:dyDescent="0.2">
      <c r="A28" s="2" t="s">
        <v>61</v>
      </c>
      <c r="B28" s="2" t="s">
        <v>44</v>
      </c>
      <c r="C28" s="10" t="s">
        <v>62</v>
      </c>
      <c r="D28" s="3">
        <v>99</v>
      </c>
      <c r="E28" s="10" t="s">
        <v>63</v>
      </c>
      <c r="F28" s="2" t="s">
        <v>4</v>
      </c>
      <c r="G28" s="11">
        <v>46228</v>
      </c>
      <c r="H28" s="2" t="s">
        <v>177</v>
      </c>
      <c r="I28" s="10"/>
    </row>
    <row r="29" spans="1:9" ht="31.5" hidden="1" customHeight="1" x14ac:dyDescent="0.2">
      <c r="A29" s="2" t="s">
        <v>64</v>
      </c>
      <c r="B29" s="2" t="s">
        <v>44</v>
      </c>
      <c r="C29" s="10" t="s">
        <v>65</v>
      </c>
      <c r="D29" s="3">
        <v>149</v>
      </c>
      <c r="E29" s="10" t="s">
        <v>66</v>
      </c>
      <c r="F29" s="2" t="s">
        <v>6</v>
      </c>
      <c r="G29" s="2"/>
      <c r="H29" s="2" t="s">
        <v>21</v>
      </c>
      <c r="I29" s="10"/>
    </row>
    <row r="30" spans="1:9" ht="31.5" customHeight="1" x14ac:dyDescent="0.2">
      <c r="A30" s="2" t="s">
        <v>67</v>
      </c>
      <c r="B30" s="2" t="s">
        <v>44</v>
      </c>
      <c r="C30" s="10" t="s">
        <v>68</v>
      </c>
      <c r="D30" s="3">
        <v>99</v>
      </c>
      <c r="E30" s="10" t="s">
        <v>69</v>
      </c>
      <c r="F30" s="2" t="s">
        <v>4</v>
      </c>
      <c r="G30" s="11">
        <v>46228</v>
      </c>
      <c r="H30" s="2" t="s">
        <v>177</v>
      </c>
      <c r="I30" s="10"/>
    </row>
    <row r="31" spans="1:9" ht="31.5" customHeight="1" x14ac:dyDescent="0.2">
      <c r="A31" s="2" t="s">
        <v>70</v>
      </c>
      <c r="B31" s="2" t="s">
        <v>44</v>
      </c>
      <c r="C31" s="10" t="s">
        <v>71</v>
      </c>
      <c r="D31" s="3">
        <v>99</v>
      </c>
      <c r="E31" s="10" t="s">
        <v>72</v>
      </c>
      <c r="F31" s="2" t="s">
        <v>4</v>
      </c>
      <c r="G31" s="11">
        <v>46228</v>
      </c>
      <c r="H31" s="2" t="s">
        <v>177</v>
      </c>
      <c r="I31" s="10"/>
    </row>
    <row r="32" spans="1:9" ht="31.5" customHeight="1" x14ac:dyDescent="0.2">
      <c r="A32" s="2" t="s">
        <v>73</v>
      </c>
      <c r="B32" s="2" t="s">
        <v>44</v>
      </c>
      <c r="C32" s="10" t="s">
        <v>74</v>
      </c>
      <c r="D32" s="3">
        <v>99</v>
      </c>
      <c r="E32" s="10" t="s">
        <v>75</v>
      </c>
      <c r="F32" s="2" t="s">
        <v>4</v>
      </c>
      <c r="G32" s="11">
        <v>46228</v>
      </c>
      <c r="H32" s="2" t="s">
        <v>177</v>
      </c>
      <c r="I32" s="10"/>
    </row>
    <row r="33" spans="1:9" ht="31.5" customHeight="1" x14ac:dyDescent="0.2">
      <c r="A33" s="2" t="s">
        <v>76</v>
      </c>
      <c r="B33" s="2" t="s">
        <v>44</v>
      </c>
      <c r="C33" s="10" t="s">
        <v>77</v>
      </c>
      <c r="D33" s="3">
        <v>99</v>
      </c>
      <c r="E33" s="10" t="s">
        <v>78</v>
      </c>
      <c r="F33" s="2" t="s">
        <v>4</v>
      </c>
      <c r="G33" s="11">
        <v>46228</v>
      </c>
      <c r="H33" s="2" t="s">
        <v>177</v>
      </c>
      <c r="I33" s="10"/>
    </row>
    <row r="34" spans="1:9" ht="31.5" hidden="1" customHeight="1" x14ac:dyDescent="0.2">
      <c r="A34" s="2" t="s">
        <v>79</v>
      </c>
      <c r="B34" s="2" t="s">
        <v>44</v>
      </c>
      <c r="C34" s="10" t="s">
        <v>80</v>
      </c>
      <c r="D34" s="3">
        <v>149</v>
      </c>
      <c r="E34" s="10" t="s">
        <v>81</v>
      </c>
      <c r="F34" s="2" t="s">
        <v>6</v>
      </c>
      <c r="G34" s="2"/>
      <c r="H34" s="2" t="s">
        <v>21</v>
      </c>
      <c r="I34" s="10"/>
    </row>
    <row r="35" spans="1:9" ht="31.5" hidden="1" customHeight="1" x14ac:dyDescent="0.2">
      <c r="A35" s="2" t="s">
        <v>82</v>
      </c>
      <c r="B35" s="9" t="s">
        <v>83</v>
      </c>
      <c r="C35" s="10" t="s">
        <v>84</v>
      </c>
      <c r="D35" s="3">
        <v>149</v>
      </c>
      <c r="E35" s="10" t="s">
        <v>85</v>
      </c>
      <c r="F35" s="2" t="s">
        <v>6</v>
      </c>
      <c r="G35" s="2"/>
      <c r="H35" s="2" t="s">
        <v>21</v>
      </c>
      <c r="I35" s="10"/>
    </row>
    <row r="36" spans="1:9" ht="31.5" customHeight="1" x14ac:dyDescent="0.2">
      <c r="A36" s="2" t="s">
        <v>86</v>
      </c>
      <c r="B36" s="2" t="s">
        <v>83</v>
      </c>
      <c r="C36" s="10" t="s">
        <v>87</v>
      </c>
      <c r="D36" s="3">
        <v>99</v>
      </c>
      <c r="E36" s="10" t="s">
        <v>88</v>
      </c>
      <c r="F36" s="2" t="s">
        <v>4</v>
      </c>
      <c r="G36" s="11">
        <v>46228</v>
      </c>
      <c r="H36" s="2" t="s">
        <v>177</v>
      </c>
      <c r="I36" s="10"/>
    </row>
    <row r="37" spans="1:9" ht="31.5" customHeight="1" x14ac:dyDescent="0.2">
      <c r="A37" s="2" t="s">
        <v>89</v>
      </c>
      <c r="B37" s="2" t="s">
        <v>83</v>
      </c>
      <c r="C37" s="10" t="s">
        <v>90</v>
      </c>
      <c r="D37" s="3">
        <v>99</v>
      </c>
      <c r="E37" s="10" t="s">
        <v>91</v>
      </c>
      <c r="F37" s="2" t="s">
        <v>4</v>
      </c>
      <c r="G37" s="11">
        <v>46228</v>
      </c>
      <c r="H37" s="2" t="s">
        <v>177</v>
      </c>
      <c r="I37" s="10"/>
    </row>
    <row r="38" spans="1:9" ht="31.5" customHeight="1" x14ac:dyDescent="0.2">
      <c r="A38" s="2" t="s">
        <v>92</v>
      </c>
      <c r="B38" s="2" t="s">
        <v>83</v>
      </c>
      <c r="C38" s="10" t="s">
        <v>93</v>
      </c>
      <c r="D38" s="3">
        <v>99</v>
      </c>
      <c r="E38" s="10" t="s">
        <v>94</v>
      </c>
      <c r="F38" s="2" t="s">
        <v>4</v>
      </c>
      <c r="G38" s="11">
        <v>46228</v>
      </c>
      <c r="H38" s="2" t="s">
        <v>177</v>
      </c>
      <c r="I38" s="10"/>
    </row>
    <row r="39" spans="1:9" ht="31.5" customHeight="1" x14ac:dyDescent="0.2">
      <c r="A39" s="2" t="s">
        <v>95</v>
      </c>
      <c r="B39" s="2" t="s">
        <v>83</v>
      </c>
      <c r="C39" s="10" t="s">
        <v>96</v>
      </c>
      <c r="D39" s="3">
        <v>99</v>
      </c>
      <c r="E39" s="10" t="s">
        <v>97</v>
      </c>
      <c r="F39" s="2" t="s">
        <v>4</v>
      </c>
      <c r="G39" s="11">
        <v>46228</v>
      </c>
      <c r="H39" s="2" t="s">
        <v>177</v>
      </c>
      <c r="I39" s="10"/>
    </row>
    <row r="40" spans="1:9" ht="31.5" hidden="1" customHeight="1" x14ac:dyDescent="0.2">
      <c r="A40" s="2" t="s">
        <v>98</v>
      </c>
      <c r="B40" s="2" t="s">
        <v>83</v>
      </c>
      <c r="C40" s="10" t="s">
        <v>99</v>
      </c>
      <c r="D40" s="3">
        <v>149</v>
      </c>
      <c r="E40" s="10" t="s">
        <v>100</v>
      </c>
      <c r="F40" s="2" t="s">
        <v>6</v>
      </c>
      <c r="G40" s="2"/>
      <c r="H40" s="2" t="s">
        <v>21</v>
      </c>
      <c r="I40" s="10"/>
    </row>
    <row r="41" spans="1:9" ht="31.5" customHeight="1" x14ac:dyDescent="0.2">
      <c r="A41" s="2" t="s">
        <v>101</v>
      </c>
      <c r="B41" s="2" t="s">
        <v>83</v>
      </c>
      <c r="C41" s="10" t="s">
        <v>102</v>
      </c>
      <c r="D41" s="3">
        <v>99</v>
      </c>
      <c r="E41" s="10" t="s">
        <v>103</v>
      </c>
      <c r="F41" s="2" t="s">
        <v>4</v>
      </c>
      <c r="G41" s="11">
        <v>46228</v>
      </c>
      <c r="H41" s="2" t="s">
        <v>177</v>
      </c>
      <c r="I41" s="10"/>
    </row>
    <row r="42" spans="1:9" ht="31.5" hidden="1" customHeight="1" x14ac:dyDescent="0.2">
      <c r="A42" s="2" t="s">
        <v>104</v>
      </c>
      <c r="B42" s="2" t="s">
        <v>83</v>
      </c>
      <c r="C42" s="10" t="s">
        <v>105</v>
      </c>
      <c r="D42" s="3">
        <v>149</v>
      </c>
      <c r="E42" s="10" t="s">
        <v>106</v>
      </c>
      <c r="F42" s="2" t="s">
        <v>6</v>
      </c>
      <c r="G42" s="2"/>
      <c r="H42" s="2" t="s">
        <v>21</v>
      </c>
      <c r="I42" s="10"/>
    </row>
    <row r="43" spans="1:9" ht="31.5" hidden="1" customHeight="1" x14ac:dyDescent="0.2">
      <c r="A43" s="2" t="s">
        <v>107</v>
      </c>
      <c r="B43" s="9" t="s">
        <v>108</v>
      </c>
      <c r="C43" s="10" t="s">
        <v>109</v>
      </c>
      <c r="D43" s="3">
        <v>149</v>
      </c>
      <c r="E43" s="10" t="s">
        <v>110</v>
      </c>
      <c r="F43" s="2" t="s">
        <v>6</v>
      </c>
      <c r="G43" s="2"/>
      <c r="H43" s="2" t="s">
        <v>21</v>
      </c>
      <c r="I43" s="10"/>
    </row>
    <row r="44" spans="1:9" ht="31.5" customHeight="1" x14ac:dyDescent="0.2">
      <c r="A44" s="2" t="s">
        <v>111</v>
      </c>
      <c r="B44" s="2" t="s">
        <v>108</v>
      </c>
      <c r="C44" s="10" t="s">
        <v>112</v>
      </c>
      <c r="D44" s="3">
        <v>99</v>
      </c>
      <c r="E44" s="10" t="s">
        <v>113</v>
      </c>
      <c r="F44" s="2" t="s">
        <v>4</v>
      </c>
      <c r="G44" s="11">
        <v>46228</v>
      </c>
      <c r="H44" s="2" t="s">
        <v>177</v>
      </c>
      <c r="I44" s="10"/>
    </row>
    <row r="45" spans="1:9" ht="31.5" customHeight="1" x14ac:dyDescent="0.2">
      <c r="A45" s="2" t="s">
        <v>114</v>
      </c>
      <c r="B45" s="2" t="s">
        <v>108</v>
      </c>
      <c r="C45" s="10" t="s">
        <v>115</v>
      </c>
      <c r="D45" s="3">
        <v>99</v>
      </c>
      <c r="E45" s="10" t="s">
        <v>116</v>
      </c>
      <c r="F45" s="2" t="s">
        <v>4</v>
      </c>
      <c r="G45" s="11">
        <v>46228</v>
      </c>
      <c r="H45" s="2" t="s">
        <v>177</v>
      </c>
      <c r="I45" s="10"/>
    </row>
    <row r="46" spans="1:9" ht="31.5" customHeight="1" x14ac:dyDescent="0.2">
      <c r="A46" s="2" t="s">
        <v>117</v>
      </c>
      <c r="B46" s="2" t="s">
        <v>108</v>
      </c>
      <c r="C46" s="10" t="s">
        <v>118</v>
      </c>
      <c r="D46" s="3">
        <v>99</v>
      </c>
      <c r="E46" s="10" t="s">
        <v>119</v>
      </c>
      <c r="F46" s="2" t="s">
        <v>4</v>
      </c>
      <c r="G46" s="11">
        <v>46228</v>
      </c>
      <c r="H46" s="2" t="s">
        <v>177</v>
      </c>
      <c r="I46" s="10"/>
    </row>
    <row r="47" spans="1:9" ht="31.5" hidden="1" customHeight="1" x14ac:dyDescent="0.2">
      <c r="A47" s="2" t="s">
        <v>120</v>
      </c>
      <c r="B47" s="2" t="s">
        <v>108</v>
      </c>
      <c r="C47" s="10" t="s">
        <v>121</v>
      </c>
      <c r="D47" s="3">
        <v>149</v>
      </c>
      <c r="E47" s="10" t="s">
        <v>122</v>
      </c>
      <c r="F47" s="2" t="s">
        <v>6</v>
      </c>
      <c r="G47" s="2"/>
      <c r="H47" s="2" t="s">
        <v>21</v>
      </c>
      <c r="I47" s="10"/>
    </row>
    <row r="48" spans="1:9" ht="31.5" customHeight="1" x14ac:dyDescent="0.2">
      <c r="A48" s="2" t="s">
        <v>123</v>
      </c>
      <c r="B48" s="2" t="s">
        <v>108</v>
      </c>
      <c r="C48" s="10" t="s">
        <v>124</v>
      </c>
      <c r="D48" s="3">
        <v>99</v>
      </c>
      <c r="E48" s="10" t="s">
        <v>125</v>
      </c>
      <c r="F48" s="2" t="s">
        <v>4</v>
      </c>
      <c r="G48" s="11">
        <v>46228</v>
      </c>
      <c r="H48" s="2" t="s">
        <v>177</v>
      </c>
      <c r="I48" s="10"/>
    </row>
    <row r="49" spans="1:9" ht="31.5" customHeight="1" x14ac:dyDescent="0.2">
      <c r="A49" s="2" t="s">
        <v>126</v>
      </c>
      <c r="B49" s="2" t="s">
        <v>108</v>
      </c>
      <c r="C49" s="10" t="s">
        <v>127</v>
      </c>
      <c r="D49" s="3">
        <v>99</v>
      </c>
      <c r="E49" s="10" t="s">
        <v>128</v>
      </c>
      <c r="F49" s="2" t="s">
        <v>4</v>
      </c>
      <c r="G49" s="11">
        <v>46228</v>
      </c>
      <c r="H49" s="2" t="s">
        <v>177</v>
      </c>
      <c r="I49" s="10"/>
    </row>
    <row r="50" spans="1:9" ht="31.5" hidden="1" customHeight="1" x14ac:dyDescent="0.2">
      <c r="A50" s="2" t="s">
        <v>129</v>
      </c>
      <c r="B50" s="9" t="s">
        <v>130</v>
      </c>
      <c r="C50" s="10" t="s">
        <v>131</v>
      </c>
      <c r="D50" s="3">
        <v>149</v>
      </c>
      <c r="E50" s="10" t="s">
        <v>132</v>
      </c>
      <c r="F50" s="2" t="s">
        <v>6</v>
      </c>
      <c r="G50" s="2"/>
      <c r="H50" s="2" t="s">
        <v>21</v>
      </c>
      <c r="I50" s="10"/>
    </row>
    <row r="51" spans="1:9" ht="31.5" customHeight="1" x14ac:dyDescent="0.2">
      <c r="A51" s="2" t="s">
        <v>133</v>
      </c>
      <c r="B51" s="2" t="s">
        <v>130</v>
      </c>
      <c r="C51" s="10" t="s">
        <v>134</v>
      </c>
      <c r="D51" s="3">
        <v>99</v>
      </c>
      <c r="E51" s="10" t="s">
        <v>135</v>
      </c>
      <c r="F51" s="2" t="s">
        <v>4</v>
      </c>
      <c r="G51" s="11">
        <v>46228</v>
      </c>
      <c r="H51" s="2" t="s">
        <v>177</v>
      </c>
      <c r="I51" s="10"/>
    </row>
    <row r="52" spans="1:9" ht="31.5" customHeight="1" x14ac:dyDescent="0.2">
      <c r="A52" s="2" t="s">
        <v>136</v>
      </c>
      <c r="B52" s="2" t="s">
        <v>130</v>
      </c>
      <c r="C52" s="10" t="s">
        <v>137</v>
      </c>
      <c r="D52" s="3">
        <v>99</v>
      </c>
      <c r="E52" s="10" t="s">
        <v>138</v>
      </c>
      <c r="F52" s="2" t="s">
        <v>4</v>
      </c>
      <c r="G52" s="11">
        <v>46228</v>
      </c>
      <c r="H52" s="2" t="s">
        <v>177</v>
      </c>
      <c r="I52" s="10"/>
    </row>
    <row r="53" spans="1:9" ht="31.5" customHeight="1" x14ac:dyDescent="0.2">
      <c r="A53" s="2" t="s">
        <v>139</v>
      </c>
      <c r="B53" s="2" t="s">
        <v>130</v>
      </c>
      <c r="C53" s="10" t="s">
        <v>140</v>
      </c>
      <c r="D53" s="3">
        <v>99</v>
      </c>
      <c r="E53" s="10" t="s">
        <v>141</v>
      </c>
      <c r="F53" s="2" t="s">
        <v>4</v>
      </c>
      <c r="G53" s="11">
        <v>46228</v>
      </c>
      <c r="H53" s="2" t="s">
        <v>177</v>
      </c>
      <c r="I53" s="10"/>
    </row>
    <row r="54" spans="1:9" ht="31.5" customHeight="1" x14ac:dyDescent="0.2">
      <c r="A54" s="2" t="s">
        <v>142</v>
      </c>
      <c r="B54" s="2" t="s">
        <v>130</v>
      </c>
      <c r="C54" s="10" t="s">
        <v>143</v>
      </c>
      <c r="D54" s="3">
        <v>99</v>
      </c>
      <c r="E54" s="10" t="s">
        <v>144</v>
      </c>
      <c r="F54" s="2" t="s">
        <v>4</v>
      </c>
      <c r="G54" s="11">
        <v>46228</v>
      </c>
      <c r="H54" s="2" t="s">
        <v>177</v>
      </c>
      <c r="I54" s="10"/>
    </row>
    <row r="55" spans="1:9" ht="31.5" hidden="1" customHeight="1" x14ac:dyDescent="0.2">
      <c r="A55" s="2" t="s">
        <v>145</v>
      </c>
      <c r="B55" s="9" t="s">
        <v>146</v>
      </c>
      <c r="C55" s="10" t="s">
        <v>147</v>
      </c>
      <c r="D55" s="3">
        <v>149</v>
      </c>
      <c r="E55" s="10" t="s">
        <v>148</v>
      </c>
      <c r="F55" s="2" t="s">
        <v>6</v>
      </c>
      <c r="G55" s="2"/>
      <c r="H55" s="2" t="s">
        <v>21</v>
      </c>
      <c r="I55" s="10"/>
    </row>
    <row r="56" spans="1:9" ht="31.5" hidden="1" customHeight="1" x14ac:dyDescent="0.2">
      <c r="A56" s="2" t="s">
        <v>149</v>
      </c>
      <c r="B56" s="2" t="s">
        <v>146</v>
      </c>
      <c r="C56" s="10" t="s">
        <v>150</v>
      </c>
      <c r="D56" s="3">
        <v>149</v>
      </c>
      <c r="E56" s="10" t="s">
        <v>151</v>
      </c>
      <c r="F56" s="2" t="s">
        <v>6</v>
      </c>
      <c r="G56" s="2"/>
      <c r="H56" s="2" t="s">
        <v>21</v>
      </c>
      <c r="I56" s="10"/>
    </row>
    <row r="57" spans="1:9" ht="31.5" hidden="1" customHeight="1" x14ac:dyDescent="0.2">
      <c r="A57" s="2" t="s">
        <v>152</v>
      </c>
      <c r="B57" s="2" t="s">
        <v>146</v>
      </c>
      <c r="C57" s="10" t="s">
        <v>153</v>
      </c>
      <c r="D57" s="3">
        <v>199</v>
      </c>
      <c r="E57" s="10" t="s">
        <v>154</v>
      </c>
      <c r="F57" s="2" t="s">
        <v>6</v>
      </c>
      <c r="G57" s="2"/>
      <c r="H57" s="2" t="s">
        <v>21</v>
      </c>
      <c r="I57" s="10"/>
    </row>
    <row r="58" spans="1:9" ht="31.5" hidden="1" customHeight="1" x14ac:dyDescent="0.2">
      <c r="A58" s="2" t="s">
        <v>155</v>
      </c>
      <c r="B58" s="2" t="s">
        <v>146</v>
      </c>
      <c r="C58" s="10" t="s">
        <v>156</v>
      </c>
      <c r="D58" s="3">
        <v>149</v>
      </c>
      <c r="E58" s="10" t="s">
        <v>157</v>
      </c>
      <c r="F58" s="2" t="s">
        <v>6</v>
      </c>
      <c r="G58" s="2"/>
      <c r="H58" s="2" t="s">
        <v>21</v>
      </c>
      <c r="I58" s="10"/>
    </row>
    <row r="59" spans="1:9" ht="31.5" hidden="1" customHeight="1" x14ac:dyDescent="0.2">
      <c r="A59" s="2" t="s">
        <v>158</v>
      </c>
      <c r="B59" s="2" t="s">
        <v>146</v>
      </c>
      <c r="C59" s="10" t="s">
        <v>159</v>
      </c>
      <c r="D59" s="3">
        <v>149</v>
      </c>
      <c r="E59" s="10" t="s">
        <v>160</v>
      </c>
      <c r="F59" s="2" t="s">
        <v>6</v>
      </c>
      <c r="G59" s="2"/>
      <c r="H59" s="2" t="s">
        <v>21</v>
      </c>
      <c r="I59" s="10"/>
    </row>
    <row r="60" spans="1:9" ht="31.5" customHeight="1" x14ac:dyDescent="0.2">
      <c r="A60" s="2" t="s">
        <v>161</v>
      </c>
      <c r="B60" s="2" t="s">
        <v>146</v>
      </c>
      <c r="C60" s="10" t="s">
        <v>162</v>
      </c>
      <c r="D60" s="3">
        <v>99</v>
      </c>
      <c r="E60" s="10" t="s">
        <v>163</v>
      </c>
      <c r="F60" s="2" t="s">
        <v>4</v>
      </c>
      <c r="G60" s="11">
        <v>46228</v>
      </c>
      <c r="H60" s="2" t="s">
        <v>177</v>
      </c>
      <c r="I60" s="10"/>
    </row>
    <row r="61" spans="1:9" ht="31.5" hidden="1" customHeight="1" x14ac:dyDescent="0.2">
      <c r="A61" s="2" t="s">
        <v>164</v>
      </c>
      <c r="B61" s="2" t="s">
        <v>146</v>
      </c>
      <c r="C61" s="10" t="s">
        <v>165</v>
      </c>
      <c r="D61" s="3">
        <v>149</v>
      </c>
      <c r="E61" s="10" t="s">
        <v>166</v>
      </c>
      <c r="F61" s="2" t="s">
        <v>6</v>
      </c>
      <c r="G61" s="2"/>
      <c r="H61" s="2" t="s">
        <v>21</v>
      </c>
      <c r="I61" s="10"/>
    </row>
    <row r="62" spans="1:9" ht="31.5" customHeight="1" x14ac:dyDescent="0.2">
      <c r="A62" s="2" t="s">
        <v>167</v>
      </c>
      <c r="B62" s="2" t="s">
        <v>146</v>
      </c>
      <c r="C62" s="10" t="s">
        <v>168</v>
      </c>
      <c r="D62" s="3">
        <v>99</v>
      </c>
      <c r="E62" s="10" t="s">
        <v>169</v>
      </c>
      <c r="F62" s="2" t="s">
        <v>4</v>
      </c>
      <c r="G62" s="11">
        <v>46228</v>
      </c>
      <c r="H62" s="2" t="s">
        <v>177</v>
      </c>
      <c r="I62" s="10"/>
    </row>
    <row r="63" spans="1:9" ht="31.5" hidden="1" customHeight="1" x14ac:dyDescent="0.2">
      <c r="A63" s="2" t="s">
        <v>170</v>
      </c>
      <c r="B63" s="2" t="s">
        <v>146</v>
      </c>
      <c r="C63" s="10" t="s">
        <v>171</v>
      </c>
      <c r="D63" s="3">
        <v>149</v>
      </c>
      <c r="E63" s="10" t="s">
        <v>172</v>
      </c>
      <c r="F63" s="2" t="s">
        <v>6</v>
      </c>
      <c r="G63" s="2"/>
      <c r="H63" s="2" t="s">
        <v>21</v>
      </c>
      <c r="I63" s="10"/>
    </row>
    <row r="64" spans="1:9" ht="31.5" hidden="1" customHeight="1" x14ac:dyDescent="0.2">
      <c r="A64" s="2" t="s">
        <v>173</v>
      </c>
      <c r="B64" s="2" t="s">
        <v>146</v>
      </c>
      <c r="C64" s="10" t="s">
        <v>174</v>
      </c>
      <c r="D64" s="3">
        <v>149</v>
      </c>
      <c r="E64" s="10" t="s">
        <v>175</v>
      </c>
      <c r="F64" s="2" t="s">
        <v>6</v>
      </c>
      <c r="G64" s="2"/>
      <c r="H64" s="2" t="s">
        <v>21</v>
      </c>
      <c r="I64" s="10"/>
    </row>
  </sheetData>
  <autoFilter ref="A13:I64" xr:uid="{00000000-0001-0000-0000-000000000000}">
    <filterColumn colId="5">
      <filters>
        <filter val="Написано"/>
      </filters>
    </filterColumn>
  </autoFilter>
  <mergeCells count="2">
    <mergeCell ref="A1:I1"/>
    <mergeCell ref="A2:I2"/>
  </mergeCells>
  <conditionalFormatting sqref="F14:F64">
    <cfRule type="cellIs" dxfId="4" priority="2" operator="equal">
      <formula>"Ще не написано"</formula>
    </cfRule>
    <cfRule type="cellIs" dxfId="3" priority="3" operator="equal">
      <formula>"У роботі"</formula>
    </cfRule>
    <cfRule type="cellIs" dxfId="2" priority="4" operator="equal">
      <formula>"Написано"</formula>
    </cfRule>
    <cfRule type="cellIs" dxfId="1" priority="5" operator="equal">
      <formula>"Імпортовано в бота"</formula>
    </cfRule>
  </conditionalFormatting>
  <conditionalFormatting sqref="H14:H64">
    <cfRule type="cellIs" dxfId="0" priority="6" operator="equal">
      <formula>"Так"</formula>
    </cfRule>
  </conditionalFormatting>
  <dataValidations count="2">
    <dataValidation type="list" sqref="F14:F64" xr:uid="{00000000-0002-0000-0000-000000000000}">
      <formula1>"Ще не написано,У роботі,Написано,Імпортовано в бота"</formula1>
      <formula2>0</formula2>
    </dataValidation>
    <dataValidation type="list" sqref="H14:H64" xr:uid="{00000000-0002-0000-0000-000001000000}">
      <formula1>"Так,Ні"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Трекер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2026-07-26T11:33:50Z</dcterms:created>
  <dcterms:modified xsi:type="dcterms:W3CDTF">2026-07-26T13:49:13Z</dcterms:modified>
  <dc:language>en-US</dc:language>
</cp:coreProperties>
</file>